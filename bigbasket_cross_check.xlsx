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thly Data" sheetId="1" r:id="rId5"/>
    <sheet state="visible" name="Category Targets" sheetId="2" r:id="rId6"/>
    <sheet state="visible" name="Pivot Table" sheetId="3" r:id="rId7"/>
    <sheet state="visible" name="Category Summary" sheetId="4" r:id="rId8"/>
  </sheets>
  <definedNames/>
  <calcPr/>
</workbook>
</file>

<file path=xl/sharedStrings.xml><?xml version="1.0" encoding="utf-8"?>
<sst xmlns="http://schemas.openxmlformats.org/spreadsheetml/2006/main" count="78" uniqueCount="21">
  <si>
    <t>Row Labels</t>
  </si>
  <si>
    <t>category</t>
  </si>
  <si>
    <t>Sum of total_revenue</t>
  </si>
  <si>
    <t>Sum of order_count</t>
  </si>
  <si>
    <t>Bakery</t>
  </si>
  <si>
    <t>Dairy &amp; Eggs</t>
  </si>
  <si>
    <t>Fruits &amp; Vegetables</t>
  </si>
  <si>
    <t>Household Essentials</t>
  </si>
  <si>
    <t>Personal Care</t>
  </si>
  <si>
    <t>Snacks &amp; Beverages</t>
  </si>
  <si>
    <t>Grand Total</t>
  </si>
  <si>
    <t>month</t>
  </si>
  <si>
    <t>order_count</t>
  </si>
  <si>
    <t>total_revenue</t>
  </si>
  <si>
    <t>avg_revenue</t>
  </si>
  <si>
    <t>target_revenue_inr</t>
  </si>
  <si>
    <t>variance</t>
  </si>
  <si>
    <t>percentage_variance</t>
  </si>
  <si>
    <t>performance_tag</t>
  </si>
  <si>
    <t>Matches Part 1 SQL total?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</si>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</sst>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164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17.0"/>
    <col customWidth="1" min="5" max="5" width="16.63"/>
  </cols>
  <sheetData>
    <row r="1">
      <c r="A1" s="2" t="s">
        <v>1</v>
      </c>
      <c r="B1" s="2" t="s">
        <v>11</v>
      </c>
      <c r="C1" s="2" t="s">
        <v>12</v>
      </c>
      <c r="D1" s="2" t="s">
        <v>13</v>
      </c>
      <c r="E1" s="2" t="s">
        <v>14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2" t="s">
        <v>4</v>
      </c>
      <c r="B2" s="4">
        <v>46023.0</v>
      </c>
      <c r="C2" s="2">
        <v>10.0</v>
      </c>
      <c r="D2" s="2">
        <v>2305.0</v>
      </c>
      <c r="E2" s="2">
        <v>230.5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2" t="s">
        <v>4</v>
      </c>
      <c r="B3" s="4">
        <v>46054.0</v>
      </c>
      <c r="C3" s="2">
        <v>12.0</v>
      </c>
      <c r="D3" s="2">
        <v>2340.0</v>
      </c>
      <c r="E3" s="2">
        <v>195.0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2" t="s">
        <v>4</v>
      </c>
      <c r="B4" s="4">
        <v>46082.0</v>
      </c>
      <c r="C4" s="2">
        <v>8.0</v>
      </c>
      <c r="D4" s="2">
        <v>1315.0</v>
      </c>
      <c r="E4" s="2">
        <v>164.375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2" t="s">
        <v>4</v>
      </c>
      <c r="B5" s="4">
        <v>46113.0</v>
      </c>
      <c r="C5" s="2">
        <v>9.0</v>
      </c>
      <c r="D5" s="2">
        <v>1980.0</v>
      </c>
      <c r="E5" s="2">
        <v>220.0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2" t="s">
        <v>4</v>
      </c>
      <c r="B6" s="4">
        <v>46143.0</v>
      </c>
      <c r="C6" s="2">
        <v>11.0</v>
      </c>
      <c r="D6" s="2">
        <v>1890.0</v>
      </c>
      <c r="E6" s="2">
        <v>171.8181818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2" t="s">
        <v>4</v>
      </c>
      <c r="B7" s="4">
        <v>46174.0</v>
      </c>
      <c r="C7" s="2">
        <v>9.0</v>
      </c>
      <c r="D7" s="2">
        <v>1865.0</v>
      </c>
      <c r="E7" s="2">
        <v>207.2222222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2" t="s">
        <v>5</v>
      </c>
      <c r="B8" s="4">
        <v>46023.0</v>
      </c>
      <c r="C8" s="2">
        <v>16.0</v>
      </c>
      <c r="D8" s="2">
        <v>2758.0</v>
      </c>
      <c r="E8" s="2">
        <v>172.375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2" t="s">
        <v>5</v>
      </c>
      <c r="B9" s="4">
        <v>46054.0</v>
      </c>
      <c r="C9" s="2">
        <v>16.0</v>
      </c>
      <c r="D9" s="2">
        <v>3313.0</v>
      </c>
      <c r="E9" s="2">
        <v>207.0625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2" t="s">
        <v>5</v>
      </c>
      <c r="B10" s="4">
        <v>46082.0</v>
      </c>
      <c r="C10" s="2">
        <v>16.0</v>
      </c>
      <c r="D10" s="2">
        <v>2587.0</v>
      </c>
      <c r="E10" s="2">
        <v>161.6875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2" t="s">
        <v>5</v>
      </c>
      <c r="B11" s="4">
        <v>46113.0</v>
      </c>
      <c r="C11" s="2">
        <v>18.0</v>
      </c>
      <c r="D11" s="2">
        <v>3350.0</v>
      </c>
      <c r="E11" s="2">
        <v>186.1111111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2" t="s">
        <v>5</v>
      </c>
      <c r="B12" s="4">
        <v>46143.0</v>
      </c>
      <c r="C12" s="2">
        <v>18.0</v>
      </c>
      <c r="D12" s="2">
        <v>3329.0</v>
      </c>
      <c r="E12" s="2">
        <v>184.9444444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2" t="s">
        <v>5</v>
      </c>
      <c r="B13" s="4">
        <v>46174.0</v>
      </c>
      <c r="C13" s="2">
        <v>17.0</v>
      </c>
      <c r="D13" s="2">
        <v>2941.0</v>
      </c>
      <c r="E13" s="2">
        <v>173.0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2" t="s">
        <v>6</v>
      </c>
      <c r="B14" s="4">
        <v>46023.0</v>
      </c>
      <c r="C14" s="2">
        <v>14.0</v>
      </c>
      <c r="D14" s="2">
        <v>2420.0</v>
      </c>
      <c r="E14" s="2">
        <v>172.8571429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2" t="s">
        <v>6</v>
      </c>
      <c r="B15" s="4">
        <v>46054.0</v>
      </c>
      <c r="C15" s="2">
        <v>15.0</v>
      </c>
      <c r="D15" s="2">
        <v>3170.0</v>
      </c>
      <c r="E15" s="2">
        <v>211.3333333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2" t="s">
        <v>6</v>
      </c>
      <c r="B16" s="4">
        <v>46082.0</v>
      </c>
      <c r="C16" s="2">
        <v>16.0</v>
      </c>
      <c r="D16" s="2">
        <v>2605.0</v>
      </c>
      <c r="E16" s="2">
        <v>162.8125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2" t="s">
        <v>6</v>
      </c>
      <c r="B17" s="4">
        <v>46113.0</v>
      </c>
      <c r="C17" s="2">
        <v>15.0</v>
      </c>
      <c r="D17" s="2">
        <v>2295.0</v>
      </c>
      <c r="E17" s="2">
        <v>153.0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2" t="s">
        <v>6</v>
      </c>
      <c r="B18" s="4">
        <v>46143.0</v>
      </c>
      <c r="C18" s="2">
        <v>9.0</v>
      </c>
      <c r="D18" s="2">
        <v>1490.0</v>
      </c>
      <c r="E18" s="2">
        <v>165.5555556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2" t="s">
        <v>6</v>
      </c>
      <c r="B19" s="4">
        <v>46174.0</v>
      </c>
      <c r="C19" s="2">
        <v>16.0</v>
      </c>
      <c r="D19" s="2">
        <v>2430.0</v>
      </c>
      <c r="E19" s="2">
        <v>151.875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2" t="s">
        <v>7</v>
      </c>
      <c r="B20" s="4">
        <v>46023.0</v>
      </c>
      <c r="C20" s="2">
        <v>13.0</v>
      </c>
      <c r="D20" s="2">
        <v>3230.0</v>
      </c>
      <c r="E20" s="2">
        <v>248.4615385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2" t="s">
        <v>7</v>
      </c>
      <c r="B21" s="4">
        <v>46054.0</v>
      </c>
      <c r="C21" s="2">
        <v>13.0</v>
      </c>
      <c r="D21" s="2">
        <v>2484.0</v>
      </c>
      <c r="E21" s="2">
        <v>191.0769231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2" t="s">
        <v>7</v>
      </c>
      <c r="B22" s="4">
        <v>46082.0</v>
      </c>
      <c r="C22" s="2">
        <v>15.0</v>
      </c>
      <c r="D22" s="2">
        <v>3152.0</v>
      </c>
      <c r="E22" s="2">
        <v>210.1333333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2" t="s">
        <v>7</v>
      </c>
      <c r="B23" s="4">
        <v>46113.0</v>
      </c>
      <c r="C23" s="2">
        <v>10.0</v>
      </c>
      <c r="D23" s="2">
        <v>1839.0</v>
      </c>
      <c r="E23" s="2">
        <v>183.9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2" t="s">
        <v>7</v>
      </c>
      <c r="B24" s="4">
        <v>46143.0</v>
      </c>
      <c r="C24" s="2">
        <v>15.0</v>
      </c>
      <c r="D24" s="2">
        <v>3729.0</v>
      </c>
      <c r="E24" s="2">
        <v>248.6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2" t="s">
        <v>7</v>
      </c>
      <c r="B25" s="4">
        <v>46174.0</v>
      </c>
      <c r="C25" s="2">
        <v>11.0</v>
      </c>
      <c r="D25" s="2">
        <v>2626.0</v>
      </c>
      <c r="E25" s="2">
        <v>238.7272727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2" t="s">
        <v>8</v>
      </c>
      <c r="B26" s="4">
        <v>46023.0</v>
      </c>
      <c r="C26" s="2">
        <v>10.0</v>
      </c>
      <c r="D26" s="2">
        <v>2419.0</v>
      </c>
      <c r="E26" s="2">
        <v>241.9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2" t="s">
        <v>8</v>
      </c>
      <c r="B27" s="4">
        <v>46054.0</v>
      </c>
      <c r="C27" s="2">
        <v>7.0</v>
      </c>
      <c r="D27" s="2">
        <v>1600.0</v>
      </c>
      <c r="E27" s="2">
        <v>228.5714286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2" t="s">
        <v>8</v>
      </c>
      <c r="B28" s="4">
        <v>46082.0</v>
      </c>
      <c r="C28" s="2">
        <v>12.0</v>
      </c>
      <c r="D28" s="2">
        <v>2790.0</v>
      </c>
      <c r="E28" s="2">
        <v>232.5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2" t="s">
        <v>8</v>
      </c>
      <c r="B29" s="4">
        <v>46113.0</v>
      </c>
      <c r="C29" s="2">
        <v>8.0</v>
      </c>
      <c r="D29" s="2">
        <v>2200.0</v>
      </c>
      <c r="E29" s="2">
        <v>275.0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2" t="s">
        <v>8</v>
      </c>
      <c r="B30" s="4">
        <v>46143.0</v>
      </c>
      <c r="C30" s="2">
        <v>9.0</v>
      </c>
      <c r="D30" s="2">
        <v>2097.0</v>
      </c>
      <c r="E30" s="2">
        <v>233.0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2" t="s">
        <v>8</v>
      </c>
      <c r="B31" s="4">
        <v>46174.0</v>
      </c>
      <c r="C31" s="2">
        <v>10.0</v>
      </c>
      <c r="D31" s="2">
        <v>2180.0</v>
      </c>
      <c r="E31" s="2">
        <v>218.0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2" t="s">
        <v>9</v>
      </c>
      <c r="B32" s="4">
        <v>46023.0</v>
      </c>
      <c r="C32" s="2">
        <v>12.0</v>
      </c>
      <c r="D32" s="2">
        <v>1850.0</v>
      </c>
      <c r="E32" s="2">
        <v>154.1666667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2" t="s">
        <v>9</v>
      </c>
      <c r="B33" s="4">
        <v>46054.0</v>
      </c>
      <c r="C33" s="2">
        <v>13.0</v>
      </c>
      <c r="D33" s="2">
        <v>2225.0</v>
      </c>
      <c r="E33" s="2">
        <v>171.1538462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2" t="s">
        <v>9</v>
      </c>
      <c r="B34" s="4">
        <v>46082.0</v>
      </c>
      <c r="C34" s="2">
        <v>16.0</v>
      </c>
      <c r="D34" s="2">
        <v>2615.0</v>
      </c>
      <c r="E34" s="2">
        <v>163.4375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2" t="s">
        <v>9</v>
      </c>
      <c r="B35" s="4">
        <v>46113.0</v>
      </c>
      <c r="C35" s="2">
        <v>17.0</v>
      </c>
      <c r="D35" s="2">
        <v>2195.0</v>
      </c>
      <c r="E35" s="2">
        <v>129.1176471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2" t="s">
        <v>9</v>
      </c>
      <c r="B36" s="4">
        <v>46143.0</v>
      </c>
      <c r="C36" s="2">
        <v>12.0</v>
      </c>
      <c r="D36" s="2">
        <v>1685.0</v>
      </c>
      <c r="E36" s="2">
        <v>140.4166667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2" t="s">
        <v>9</v>
      </c>
      <c r="B37" s="4">
        <v>46174.0</v>
      </c>
      <c r="C37" s="2">
        <v>15.0</v>
      </c>
      <c r="D37" s="2">
        <v>1730.0</v>
      </c>
      <c r="E37" s="2">
        <v>115.3333333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16.0"/>
  </cols>
  <sheetData>
    <row r="1">
      <c r="A1" s="2" t="s">
        <v>1</v>
      </c>
      <c r="B1" s="2" t="s">
        <v>15</v>
      </c>
    </row>
    <row r="2">
      <c r="A2" s="2" t="s">
        <v>6</v>
      </c>
      <c r="B2" s="2">
        <v>12000.0</v>
      </c>
    </row>
    <row r="3">
      <c r="A3" s="2" t="s">
        <v>5</v>
      </c>
      <c r="B3" s="2">
        <v>16500.0</v>
      </c>
    </row>
    <row r="4">
      <c r="A4" s="2" t="s">
        <v>9</v>
      </c>
      <c r="B4" s="2">
        <v>13000.0</v>
      </c>
    </row>
    <row r="5">
      <c r="A5" s="2" t="s">
        <v>8</v>
      </c>
      <c r="B5" s="2">
        <v>15500.0</v>
      </c>
    </row>
    <row r="6">
      <c r="A6" s="2" t="s">
        <v>7</v>
      </c>
      <c r="B6" s="2">
        <v>17000.0</v>
      </c>
    </row>
    <row r="7">
      <c r="A7" s="2" t="s">
        <v>4</v>
      </c>
      <c r="B7" s="2">
        <v>12000.0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63"/>
    <col customWidth="1" min="2" max="2" width="18.25"/>
    <col customWidth="1" min="3" max="3" width="21.25"/>
  </cols>
  <sheetData>
    <row r="1">
      <c r="A1" s="1" t="s">
        <v>0</v>
      </c>
      <c r="B1" s="1" t="s">
        <v>2</v>
      </c>
      <c r="C1" s="1" t="s">
        <v>3</v>
      </c>
    </row>
    <row r="2">
      <c r="A2" s="1" t="s">
        <v>4</v>
      </c>
      <c r="B2" s="1">
        <v>11700.0</v>
      </c>
      <c r="C2" s="1">
        <v>59.0</v>
      </c>
    </row>
    <row r="3">
      <c r="A3" s="1" t="s">
        <v>5</v>
      </c>
      <c r="B3" s="1">
        <v>18278.0</v>
      </c>
      <c r="C3" s="1">
        <v>101.0</v>
      </c>
    </row>
    <row r="4">
      <c r="A4" s="1" t="s">
        <v>6</v>
      </c>
      <c r="B4" s="1">
        <v>12405.0</v>
      </c>
      <c r="C4" s="1">
        <v>85.0</v>
      </c>
    </row>
    <row r="5">
      <c r="A5" s="1" t="s">
        <v>7</v>
      </c>
      <c r="B5" s="1">
        <v>17060.0</v>
      </c>
      <c r="C5" s="1">
        <v>77.0</v>
      </c>
    </row>
    <row r="6">
      <c r="A6" s="1" t="s">
        <v>8</v>
      </c>
      <c r="B6" s="1">
        <v>13286.0</v>
      </c>
      <c r="C6" s="1">
        <v>56.0</v>
      </c>
    </row>
    <row r="7">
      <c r="A7" s="1" t="s">
        <v>9</v>
      </c>
      <c r="B7" s="1">
        <v>11300.0</v>
      </c>
      <c r="C7" s="1">
        <v>85.0</v>
      </c>
    </row>
    <row r="8">
      <c r="A8" s="1" t="s">
        <v>10</v>
      </c>
      <c r="B8" s="1">
        <v>84029.0</v>
      </c>
      <c r="C8" s="1">
        <v>463.0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63"/>
    <col customWidth="1" min="3" max="3" width="15.63"/>
    <col customWidth="1" min="4" max="4" width="15.88"/>
    <col customWidth="1" min="5" max="5" width="21.13"/>
    <col customWidth="1" min="6" max="6" width="19.88"/>
    <col customWidth="1" min="7" max="7" width="23.13"/>
    <col customWidth="1" min="8" max="8" width="15.25"/>
  </cols>
  <sheetData>
    <row r="1">
      <c r="A1" s="2" t="s">
        <v>1</v>
      </c>
      <c r="B1" s="2" t="s">
        <v>13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2" t="s">
        <v>6</v>
      </c>
      <c r="B2" s="3">
        <f>'Pivot Table'!B4</f>
        <v>12405</v>
      </c>
      <c r="C2" s="3">
        <f t="array" ref="C2">_xlfn.XLOOKUP(A2, 'Category Targets'!$A$2:$A$7, 'Category Targets'!$B$2:$B$7, "Not Found")</f>
        <v>12000</v>
      </c>
      <c r="D2" s="3">
        <f t="shared" ref="D2:D7" si="1">C2-B2</f>
        <v>-405</v>
      </c>
      <c r="E2" s="3">
        <f t="shared" ref="E2:E7" si="2">((B2-C2)*100)/C2</f>
        <v>3.375</v>
      </c>
      <c r="F2" s="3" t="str">
        <f t="shared" ref="F2:F7" si="3">IF(B2&gt;=C2, "Above Target", IF((C2-B2)&lt;=(0.15*C2), "Below Target - Watch", "Below Target - Critical"))</f>
        <v>Above Target</v>
      </c>
      <c r="G2" s="2" t="s">
        <v>20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2" t="s">
        <v>5</v>
      </c>
      <c r="B3" s="3">
        <f>'Pivot Table'!B3</f>
        <v>18278</v>
      </c>
      <c r="C3" s="3">
        <f t="array" ref="C3">_xlfn.XLOOKUP(A3, 'Category Targets'!$A$2:$A$7, 'Category Targets'!$B$2:$B$7, "Not Found")</f>
        <v>16500</v>
      </c>
      <c r="D3" s="3">
        <f t="shared" si="1"/>
        <v>-1778</v>
      </c>
      <c r="E3" s="3">
        <f t="shared" si="2"/>
        <v>10.77575758</v>
      </c>
      <c r="F3" s="3" t="str">
        <f t="shared" si="3"/>
        <v>Above Target</v>
      </c>
      <c r="G3" s="2" t="s">
        <v>20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2" t="s">
        <v>9</v>
      </c>
      <c r="B4" s="3">
        <f>'Pivot Table'!B7</f>
        <v>11300</v>
      </c>
      <c r="C4" s="3">
        <f t="array" ref="C4">_xlfn.XLOOKUP(A4, 'Category Targets'!$A$2:$A$7, 'Category Targets'!$B$2:$B$7, "Not Found")</f>
        <v>13000</v>
      </c>
      <c r="D4" s="3">
        <f t="shared" si="1"/>
        <v>1700</v>
      </c>
      <c r="E4" s="3">
        <f t="shared" si="2"/>
        <v>-13.07692308</v>
      </c>
      <c r="F4" s="3" t="str">
        <f t="shared" si="3"/>
        <v>Below Target - Watch</v>
      </c>
      <c r="G4" s="2" t="s">
        <v>20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2" t="s">
        <v>8</v>
      </c>
      <c r="B5" s="3">
        <f>'Pivot Table'!B6</f>
        <v>13286</v>
      </c>
      <c r="C5" s="3">
        <f t="array" ref="C5">_xlfn.XLOOKUP(A5, 'Category Targets'!$A$2:$A$7, 'Category Targets'!$B$2:$B$7, "Not Found")</f>
        <v>15500</v>
      </c>
      <c r="D5" s="3">
        <f t="shared" si="1"/>
        <v>2214</v>
      </c>
      <c r="E5" s="3">
        <f t="shared" si="2"/>
        <v>-14.28387097</v>
      </c>
      <c r="F5" s="3" t="str">
        <f t="shared" si="3"/>
        <v>Below Target - Watch</v>
      </c>
      <c r="G5" s="2" t="s">
        <v>20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2" t="s">
        <v>7</v>
      </c>
      <c r="B6" s="3">
        <f>'Pivot Table'!B5</f>
        <v>17060</v>
      </c>
      <c r="C6" s="3">
        <f t="array" ref="C6">_xlfn.XLOOKUP(A6, 'Category Targets'!$A$2:$A$7, 'Category Targets'!$B$2:$B$7, "Not Found")</f>
        <v>17000</v>
      </c>
      <c r="D6" s="3">
        <f t="shared" si="1"/>
        <v>-60</v>
      </c>
      <c r="E6" s="3">
        <f t="shared" si="2"/>
        <v>0.3529411765</v>
      </c>
      <c r="F6" s="3" t="str">
        <f t="shared" si="3"/>
        <v>Above Target</v>
      </c>
      <c r="G6" s="2" t="s">
        <v>20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2" t="s">
        <v>4</v>
      </c>
      <c r="B7" s="3">
        <f>'Pivot Table'!B2</f>
        <v>11700</v>
      </c>
      <c r="C7" s="3">
        <f t="array" ref="C7">_xlfn.XLOOKUP(A7, 'Category Targets'!$A$2:$A$7, 'Category Targets'!$B$2:$B$7, "Not Found")</f>
        <v>12000</v>
      </c>
      <c r="D7" s="3">
        <f t="shared" si="1"/>
        <v>300</v>
      </c>
      <c r="E7" s="3">
        <f t="shared" si="2"/>
        <v>-2.5</v>
      </c>
      <c r="F7" s="3" t="str">
        <f t="shared" si="3"/>
        <v>Below Target - Watch</v>
      </c>
      <c r="G7" s="2" t="s">
        <v>20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9">
      <c r="D9" s="3"/>
    </row>
  </sheetData>
  <drawing r:id="rId1"/>
</worksheet>
</file>